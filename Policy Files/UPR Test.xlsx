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TU\Bakalaura darbs\Policy Files\"/>
    </mc:Choice>
  </mc:AlternateContent>
  <xr:revisionPtr revIDLastSave="0" documentId="11_1A4DF866931D9704877AAFD8739F05787B65340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9" i="1"/>
  <c r="L8" i="1"/>
  <c r="L7" i="1"/>
  <c r="L6" i="1"/>
  <c r="L5" i="1"/>
  <c r="L4" i="1"/>
  <c r="L3" i="1"/>
  <c r="L2" i="1"/>
  <c r="I2" i="1"/>
  <c r="K10" i="1" l="1"/>
  <c r="K9" i="1"/>
  <c r="K8" i="1"/>
  <c r="M8" i="1" s="1"/>
  <c r="K7" i="1"/>
  <c r="M7" i="1" s="1"/>
  <c r="K6" i="1"/>
  <c r="K2" i="1"/>
  <c r="M2" i="1" s="1"/>
  <c r="K5" i="1"/>
  <c r="K4" i="1"/>
  <c r="M4" i="1" s="1"/>
  <c r="K3" i="1"/>
</calcChain>
</file>

<file path=xl/sharedStrings.xml><?xml version="1.0" encoding="utf-8"?>
<sst xmlns="http://schemas.openxmlformats.org/spreadsheetml/2006/main" count="21" uniqueCount="21">
  <si>
    <t>Policy Nr</t>
  </si>
  <si>
    <t>Start Date</t>
  </si>
  <si>
    <t>End Date</t>
  </si>
  <si>
    <t>Written Premium</t>
  </si>
  <si>
    <t>Coverage End Date</t>
  </si>
  <si>
    <t>Last Premium Date</t>
  </si>
  <si>
    <t>Is in Force</t>
  </si>
  <si>
    <t>Valuation Date</t>
  </si>
  <si>
    <t>t</t>
  </si>
  <si>
    <t>T</t>
  </si>
  <si>
    <t>UPR*</t>
  </si>
  <si>
    <t>UPR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</si>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</sst>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\.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14" fontId="0" fillId="0" borderId="0" xfId="0" applyNumberFormat="1"/>
    <xf numFmtId="0" fontId="1" fillId="2" borderId="0" xfId="0" applyFont="1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K24" sqref="K23:K24"/>
    </sheetView>
  </sheetViews>
  <sheetFormatPr defaultRowHeight="15" x14ac:dyDescent="0.25"/>
  <cols>
    <col min="2" max="3" width="10.7109375" bestFit="1" customWidth="1"/>
    <col min="4" max="4" width="16.7109375" bestFit="1" customWidth="1"/>
    <col min="5" max="6" width="17.85546875" bestFit="1" customWidth="1"/>
    <col min="7" max="7" width="9.85546875" bestFit="1" customWidth="1"/>
    <col min="8" max="8" width="5.140625" customWidth="1"/>
    <col min="9" max="9" width="14.28515625" bestFit="1" customWidth="1"/>
    <col min="10" max="10" width="2.85546875" customWidth="1"/>
    <col min="14" max="14" width="3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K1" s="1" t="s">
        <v>8</v>
      </c>
      <c r="L1" s="1" t="s">
        <v>9</v>
      </c>
      <c r="M1" s="1" t="s">
        <v>10</v>
      </c>
      <c r="O1" s="5" t="s">
        <v>11</v>
      </c>
    </row>
    <row r="2" spans="1:15" x14ac:dyDescent="0.25">
      <c r="A2" t="s">
        <v>12</v>
      </c>
      <c r="B2" s="2">
        <v>45658</v>
      </c>
      <c r="C2" s="2">
        <v>46753</v>
      </c>
      <c r="D2">
        <v>500</v>
      </c>
      <c r="E2" s="2"/>
      <c r="G2" t="b">
        <v>1</v>
      </c>
      <c r="I2" s="2">
        <f>DATE(2026,3,25)</f>
        <v>46106</v>
      </c>
      <c r="K2">
        <f>_xlfn.DAYS(C2, $I$2)</f>
        <v>647</v>
      </c>
      <c r="L2">
        <f>_xlfn.DAYS(C2,B2)</f>
        <v>1095</v>
      </c>
      <c r="M2" s="3">
        <f>D2*K2/L2</f>
        <v>295.4337899543379</v>
      </c>
      <c r="O2" s="6">
        <v>295.4337899543379</v>
      </c>
    </row>
    <row r="3" spans="1:15" x14ac:dyDescent="0.25">
      <c r="A3" t="s">
        <v>13</v>
      </c>
      <c r="B3" s="2">
        <v>46433</v>
      </c>
      <c r="C3" s="2">
        <v>47345</v>
      </c>
      <c r="D3">
        <v>400</v>
      </c>
      <c r="E3" s="2">
        <v>46919</v>
      </c>
      <c r="G3" t="b">
        <v>0</v>
      </c>
      <c r="K3">
        <f>_xlfn.DAYS(E3, $I$2)</f>
        <v>813</v>
      </c>
      <c r="L3">
        <f>_xlfn.DAYS(E3,B3)</f>
        <v>486</v>
      </c>
      <c r="M3" s="3">
        <v>400</v>
      </c>
      <c r="O3" s="6">
        <v>400</v>
      </c>
    </row>
    <row r="4" spans="1:15" x14ac:dyDescent="0.25">
      <c r="A4" t="s">
        <v>14</v>
      </c>
      <c r="B4" s="2">
        <v>45698</v>
      </c>
      <c r="C4" s="2">
        <v>49350</v>
      </c>
      <c r="D4">
        <v>1000</v>
      </c>
      <c r="E4" s="2">
        <v>46428</v>
      </c>
      <c r="I4" s="4"/>
      <c r="K4">
        <f>_xlfn.DAYS(E4, $I$2)</f>
        <v>322</v>
      </c>
      <c r="L4">
        <f>_xlfn.DAYS(E4,B4)</f>
        <v>730</v>
      </c>
      <c r="M4" s="3">
        <f>D4*K4/L4</f>
        <v>441.09589041095893</v>
      </c>
      <c r="O4" s="6">
        <v>441.09589041095887</v>
      </c>
    </row>
    <row r="5" spans="1:15" x14ac:dyDescent="0.25">
      <c r="A5" t="s">
        <v>15</v>
      </c>
      <c r="B5" s="2">
        <v>46387</v>
      </c>
      <c r="C5" s="2">
        <v>47849</v>
      </c>
      <c r="D5">
        <v>600</v>
      </c>
      <c r="E5" s="2"/>
      <c r="K5">
        <f>_xlfn.DAYS(C5, $I$2)</f>
        <v>1743</v>
      </c>
      <c r="L5">
        <f>_xlfn.DAYS(C5,B5)</f>
        <v>1462</v>
      </c>
      <c r="M5" s="3">
        <v>600</v>
      </c>
      <c r="O5" s="6">
        <v>600</v>
      </c>
    </row>
    <row r="6" spans="1:15" x14ac:dyDescent="0.25">
      <c r="A6" t="s">
        <v>16</v>
      </c>
      <c r="B6" s="2">
        <v>45748</v>
      </c>
      <c r="C6" s="2">
        <v>47330</v>
      </c>
      <c r="D6">
        <v>300</v>
      </c>
      <c r="E6" s="2">
        <v>46844</v>
      </c>
      <c r="G6" t="b">
        <v>0</v>
      </c>
      <c r="K6">
        <f>_xlfn.DAYS(E6, $I$2)</f>
        <v>738</v>
      </c>
      <c r="L6">
        <f>_xlfn.DAYS(E6,B6)</f>
        <v>1096</v>
      </c>
      <c r="M6" s="3">
        <v>0</v>
      </c>
      <c r="O6" s="6">
        <v>0</v>
      </c>
    </row>
    <row r="7" spans="1:15" x14ac:dyDescent="0.25">
      <c r="A7" t="s">
        <v>17</v>
      </c>
      <c r="B7" s="2">
        <v>45658</v>
      </c>
      <c r="C7" s="2">
        <v>46753</v>
      </c>
      <c r="D7">
        <v>500</v>
      </c>
      <c r="E7" s="2"/>
      <c r="F7" s="2">
        <v>46023</v>
      </c>
      <c r="G7" t="b">
        <v>1</v>
      </c>
      <c r="K7">
        <f>_xlfn.DAYS(C7, $I$2)</f>
        <v>647</v>
      </c>
      <c r="L7">
        <f>_xlfn.DAYS(C7,F7)</f>
        <v>730</v>
      </c>
      <c r="M7" s="3">
        <f>D7*K7/L7</f>
        <v>443.15068493150687</v>
      </c>
      <c r="O7" s="6">
        <v>443.15068493150687</v>
      </c>
    </row>
    <row r="8" spans="1:15" x14ac:dyDescent="0.25">
      <c r="A8" t="s">
        <v>18</v>
      </c>
      <c r="B8" s="2">
        <v>45698</v>
      </c>
      <c r="C8" s="2">
        <v>49350</v>
      </c>
      <c r="D8">
        <v>1000</v>
      </c>
      <c r="E8" s="2">
        <v>46428</v>
      </c>
      <c r="F8" s="2">
        <v>46063</v>
      </c>
      <c r="K8">
        <f>_xlfn.DAYS(E8, $I$2)</f>
        <v>322</v>
      </c>
      <c r="L8">
        <f>_xlfn.DAYS(E8,F8)</f>
        <v>365</v>
      </c>
      <c r="M8" s="3">
        <f>D8*K8/L8</f>
        <v>882.19178082191786</v>
      </c>
      <c r="O8" s="6">
        <v>882.19178082191786</v>
      </c>
    </row>
    <row r="9" spans="1:15" x14ac:dyDescent="0.25">
      <c r="A9" t="s">
        <v>19</v>
      </c>
      <c r="B9" s="2">
        <v>46387</v>
      </c>
      <c r="C9" s="2">
        <v>47849</v>
      </c>
      <c r="D9">
        <v>600</v>
      </c>
      <c r="E9" s="2"/>
      <c r="F9" s="2">
        <v>47118</v>
      </c>
      <c r="K9">
        <f>_xlfn.DAYS(C9, $I$2)</f>
        <v>1743</v>
      </c>
      <c r="L9">
        <f>_xlfn.DAYS(C9,F9)</f>
        <v>731</v>
      </c>
      <c r="M9" s="3">
        <v>600</v>
      </c>
      <c r="O9" s="6">
        <v>600</v>
      </c>
    </row>
    <row r="10" spans="1:15" x14ac:dyDescent="0.25">
      <c r="A10" t="s">
        <v>20</v>
      </c>
      <c r="B10" s="2">
        <v>46174</v>
      </c>
      <c r="C10" s="2">
        <v>46539</v>
      </c>
      <c r="D10">
        <v>700</v>
      </c>
      <c r="E10" s="2"/>
      <c r="G10" t="b">
        <v>0</v>
      </c>
      <c r="K10">
        <f>_xlfn.DAYS(C10, $I$2)</f>
        <v>433</v>
      </c>
      <c r="L10">
        <f>_xlfn.DAYS(C10,B10)</f>
        <v>365</v>
      </c>
      <c r="M10" s="3">
        <v>700</v>
      </c>
      <c r="O10" s="6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Daniils Jarmonovs</cp:lastModifiedBy>
  <dcterms:created xsi:type="dcterms:W3CDTF">2015-06-05T18:17:20Z</dcterms:created>
  <dcterms:modified xsi:type="dcterms:W3CDTF">2026-05-17T22:56:16Z</dcterms:modified>
</cp:coreProperties>
</file>